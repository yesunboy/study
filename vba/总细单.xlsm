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65" windowWidth="14805" windowHeight="7950" activeTab="2"/>
  </bookViews>
  <sheets>
    <sheet name="Sheet1" sheetId="1" r:id="rId1"/>
    <sheet name="总单" sheetId="2" r:id="rId2"/>
    <sheet name="细单" sheetId="3" r:id="rId3"/>
    <sheet name="config" sheetId="4" r:id="rId4"/>
    <sheet name="Sheet3" sheetId="5" r:id="rId5"/>
  </sheets>
  <functionGroups builtInGroupCount="17"/>
  <calcPr calcId="144525"/>
</workbook>
</file>

<file path=xl/calcChain.xml><?xml version="1.0" encoding="utf-8"?>
<calcChain xmlns="http://schemas.openxmlformats.org/spreadsheetml/2006/main">
  <c r="A4" i="4" l="1"/>
  <c r="A12" i="4"/>
  <c r="A2" i="4"/>
  <c r="A9" i="4"/>
  <c r="A8" i="4"/>
  <c r="A6" i="4"/>
  <c r="A5" i="4"/>
  <c r="E1" i="3"/>
  <c r="G4" i="3"/>
  <c r="G8" i="3"/>
  <c r="G10" i="3"/>
  <c r="G3" i="3"/>
  <c r="G5" i="3"/>
  <c r="G9" i="3"/>
  <c r="G6" i="3"/>
  <c r="G7" i="3"/>
  <c r="G2" i="3"/>
  <c r="D1" i="1"/>
  <c r="A3" i="4" l="1"/>
  <c r="F3" i="3"/>
  <c r="F4" i="3"/>
  <c r="F5" i="3"/>
  <c r="F6" i="3"/>
  <c r="F7" i="3"/>
  <c r="F8" i="3"/>
  <c r="F9" i="3"/>
  <c r="F10" i="3"/>
  <c r="F2" i="3"/>
  <c r="F2" i="2"/>
  <c r="E3" i="3"/>
  <c r="E4" i="3"/>
  <c r="E5" i="3"/>
  <c r="E6" i="3"/>
  <c r="E7" i="3"/>
  <c r="E8" i="3"/>
  <c r="E9" i="3"/>
  <c r="E10" i="3"/>
  <c r="E2" i="3"/>
  <c r="F3" i="2" l="1"/>
  <c r="F4" i="2"/>
  <c r="F5" i="2"/>
  <c r="F6" i="2"/>
  <c r="F7" i="2"/>
  <c r="F8" i="2"/>
  <c r="F9" i="2"/>
  <c r="F10" i="2"/>
  <c r="F11" i="2"/>
  <c r="F12" i="2"/>
  <c r="F13" i="2"/>
  <c r="E1" i="2"/>
  <c r="E3" i="2"/>
  <c r="E4" i="2"/>
  <c r="E5" i="2"/>
  <c r="E6" i="2"/>
  <c r="E7" i="2"/>
  <c r="E8" i="2"/>
  <c r="E9" i="2"/>
  <c r="E10" i="2"/>
  <c r="E11" i="2"/>
  <c r="E12" i="2"/>
  <c r="E13" i="2"/>
  <c r="E2" i="2"/>
  <c r="B7" i="1" l="1"/>
  <c r="B6" i="1"/>
  <c r="B5" i="1" l="1"/>
  <c r="B3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<sst xmlns="http://schemas.openxmlformats.org/spreadsheetml/2006/main" count="189" uniqueCount="76">
  <si>
    <t>zx_yjgl</t>
  </si>
  <si>
    <t>number</t>
  </si>
  <si>
    <t>varchar2(30)</t>
    <phoneticPr fontId="1" type="noConversion"/>
  </si>
  <si>
    <t>字段名</t>
    <phoneticPr fontId="1" type="noConversion"/>
  </si>
  <si>
    <t>类型</t>
    <phoneticPr fontId="1" type="noConversion"/>
  </si>
  <si>
    <t>注释</t>
    <phoneticPr fontId="1" type="noConversion"/>
  </si>
  <si>
    <t>主键</t>
    <phoneticPr fontId="1" type="noConversion"/>
  </si>
  <si>
    <t>总单id</t>
    <phoneticPr fontId="1" type="noConversion"/>
  </si>
  <si>
    <t>credate</t>
    <phoneticPr fontId="1" type="noConversion"/>
  </si>
  <si>
    <t>date</t>
  </si>
  <si>
    <t>制单日期</t>
    <phoneticPr fontId="1" type="noConversion"/>
  </si>
  <si>
    <t>inputmanid</t>
    <phoneticPr fontId="1" type="noConversion"/>
  </si>
  <si>
    <t>制单人id</t>
    <phoneticPr fontId="1" type="noConversion"/>
  </si>
  <si>
    <t>supplierid</t>
    <phoneticPr fontId="1" type="noConversion"/>
  </si>
  <si>
    <t>供应商id</t>
    <phoneticPr fontId="1" type="noConversion"/>
  </si>
  <si>
    <t>typeid</t>
    <phoneticPr fontId="1" type="noConversion"/>
  </si>
  <si>
    <t>usestatus</t>
  </si>
  <si>
    <t>使用状态</t>
    <phoneticPr fontId="1" type="noConversion"/>
  </si>
  <si>
    <t>确认人id</t>
    <phoneticPr fontId="1" type="noConversion"/>
  </si>
  <si>
    <t>confirmanid</t>
    <phoneticPr fontId="1" type="noConversion"/>
  </si>
  <si>
    <t>confirdate</t>
    <phoneticPr fontId="1" type="noConversion"/>
  </si>
  <si>
    <t>确认日期</t>
    <phoneticPr fontId="1" type="noConversion"/>
  </si>
  <si>
    <t>docid</t>
    <phoneticPr fontId="1" type="noConversion"/>
  </si>
  <si>
    <t>agent</t>
  </si>
  <si>
    <t>varchar2(20)</t>
    <phoneticPr fontId="1" type="noConversion"/>
  </si>
  <si>
    <t>代理人</t>
    <phoneticPr fontId="1" type="noConversion"/>
  </si>
  <si>
    <t>docmemo</t>
    <phoneticPr fontId="1" type="noConversion"/>
  </si>
  <si>
    <t>varchar2(500)</t>
    <phoneticPr fontId="1" type="noConversion"/>
  </si>
  <si>
    <t>总单备注</t>
    <phoneticPr fontId="1" type="noConversion"/>
  </si>
  <si>
    <t>cancelmanid</t>
    <phoneticPr fontId="1" type="noConversion"/>
  </si>
  <si>
    <t>作废人id</t>
    <phoneticPr fontId="1" type="noConversion"/>
  </si>
  <si>
    <t>canceldate</t>
    <phoneticPr fontId="1" type="noConversion"/>
  </si>
  <si>
    <t>作废日期</t>
    <phoneticPr fontId="1" type="noConversion"/>
  </si>
  <si>
    <t>外键</t>
    <phoneticPr fontId="1" type="noConversion"/>
  </si>
  <si>
    <t>dtlid</t>
    <phoneticPr fontId="1" type="noConversion"/>
  </si>
  <si>
    <t>goodsid</t>
    <phoneticPr fontId="1" type="noConversion"/>
  </si>
  <si>
    <t>货品id</t>
    <phoneticPr fontId="1" type="noConversion"/>
  </si>
  <si>
    <t>supplyerid</t>
    <phoneticPr fontId="1" type="noConversion"/>
  </si>
  <si>
    <t>采购员id</t>
    <phoneticPr fontId="1" type="noConversion"/>
  </si>
  <si>
    <t>sjh</t>
    <phoneticPr fontId="1" type="noConversion"/>
  </si>
  <si>
    <t>收据号</t>
    <phoneticPr fontId="1" type="noConversion"/>
  </si>
  <si>
    <t>sjhkjrq</t>
    <phoneticPr fontId="1" type="noConversion"/>
  </si>
  <si>
    <t>收据开具日期</t>
    <phoneticPr fontId="1" type="noConversion"/>
  </si>
  <si>
    <t>sjzy</t>
    <phoneticPr fontId="1" type="noConversion"/>
  </si>
  <si>
    <t>varchar2(200)</t>
    <phoneticPr fontId="1" type="noConversion"/>
  </si>
  <si>
    <t>收据摘要</t>
    <phoneticPr fontId="1" type="noConversion"/>
  </si>
  <si>
    <t>je</t>
    <phoneticPr fontId="1" type="noConversion"/>
  </si>
  <si>
    <t>金额</t>
    <phoneticPr fontId="1" type="noConversion"/>
  </si>
  <si>
    <t>dtlmemo</t>
    <phoneticPr fontId="1" type="noConversion"/>
  </si>
  <si>
    <t>细单备注</t>
    <phoneticPr fontId="1" type="noConversion"/>
  </si>
  <si>
    <t>);</t>
    <phoneticPr fontId="1" type="noConversion"/>
  </si>
  <si>
    <t>);</t>
    <phoneticPr fontId="1" type="noConversion"/>
  </si>
  <si>
    <t>optype:mdegeneral</t>
  </si>
  <si>
    <t>pkcolname:DOCID</t>
  </si>
  <si>
    <t>pkcolname1:DTLID</t>
  </si>
  <si>
    <t>fkcolname1:DOCID</t>
  </si>
  <si>
    <t>groupname:二次开发-专项功能</t>
  </si>
  <si>
    <t>押金管理</t>
  </si>
  <si>
    <t>docid</t>
  </si>
  <si>
    <t>总单id</t>
  </si>
  <si>
    <t>textfield</t>
  </si>
  <si>
    <t>T</t>
  </si>
  <si>
    <t>T_YBH_IMP_GOODS_DOC_SEQ</t>
  </si>
  <si>
    <t>F</t>
  </si>
  <si>
    <t>credate</t>
  </si>
  <si>
    <t>导入日期</t>
  </si>
  <si>
    <t>inputmanid</t>
  </si>
  <si>
    <t>导入人id</t>
  </si>
  <si>
    <t>memo</t>
  </si>
  <si>
    <t>varchar</t>
  </si>
  <si>
    <t>备注</t>
  </si>
  <si>
    <t>textarea</t>
  </si>
  <si>
    <t>employeename</t>
  </si>
  <si>
    <t>导入人</t>
  </si>
  <si>
    <t>导入状态</t>
  </si>
  <si>
    <t>combobox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</si>
</sst>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常规" xfId="0" builtinId="0"/>
  </cellStyles>
  <dxfs count="0"/>
  <tableStyles count="0" defaultTableStyle="TableStyleMedium2" defaultPivotStyle="Pivot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workbookViewId="0">
      <selection sqref="A1:A7"/>
    </sheetView>
  </sheetViews>
  <sheetFormatPr defaultRowHeight="13.5" x14ac:dyDescent="0.15"/>
  <cols>
    <col min="1" max="1" width="34.5" customWidth="1"/>
    <col min="2" max="2" width="68.875" style="1" customWidth="1"/>
    <col min="3" max="3" width="19.5" customWidth="1"/>
    <col min="5" max="5" width="13.75" customWidth="1"/>
  </cols>
  <sheetData>
    <row r="1" spans="1:4" x14ac:dyDescent="0.15">
      <c r="A1" t="s">
        <v>0</v>
      </c>
      <c r="B1" s="1">
        <v>101072</v>
      </c>
      <c r="C1" t="s">
        <v>57</v>
      </c>
      <c r="D1" t="str">
        <f>PinYin(C1,"",4)</f>
        <v>YJGL</v>
      </c>
    </row>
    <row r="2" spans="1:4" x14ac:dyDescent="0.15">
      <c r="A2" t="str">
        <f>"t_"&amp;A1&amp;"_doc"</f>
        <v>t_zx_yjgl_doc</v>
      </c>
    </row>
    <row r="3" spans="1:4" ht="27" x14ac:dyDescent="0.15">
      <c r="A3" t="str">
        <f>A2&amp;"_seq"</f>
        <v>t_zx_yjgl_doc_seq</v>
      </c>
      <c r="B3" s="1" t="str">
        <f>"create sequence "&amp;A3&amp;" minvalue 1 maxvalue 999999999999999999999999999 start with 1 increment by 1 cache 20;"</f>
        <v>create sequence t_zx_yjgl_doc_seq minvalue 1 maxvalue 999999999999999999999999999 start with 1 increment by 1 cache 20;</v>
      </c>
    </row>
    <row r="4" spans="1:4" x14ac:dyDescent="0.15">
      <c r="A4" t="str">
        <f>"t_"&amp;A1&amp;"_dtl"</f>
        <v>t_zx_yjgl_dtl</v>
      </c>
    </row>
    <row r="5" spans="1:4" ht="27" x14ac:dyDescent="0.15">
      <c r="A5" t="str">
        <f>A4&amp;"_seq"</f>
        <v>t_zx_yjgl_dtl_seq</v>
      </c>
      <c r="B5" s="1" t="str">
        <f>"create sequence "&amp;A5&amp;" minvalue 1 maxvalue 999999999999999999999999999 start with 1 increment by 1 cache 20;"</f>
        <v>create sequence t_zx_yjgl_dtl_seq minvalue 1 maxvalue 999999999999999999999999999 start with 1 increment by 1 cache 20;</v>
      </c>
    </row>
    <row r="6" spans="1:4" x14ac:dyDescent="0.15">
      <c r="A6" t="str">
        <f>"v_"&amp;A1&amp;"_doc"</f>
        <v>v_zx_yjgl_doc</v>
      </c>
      <c r="B6" s="1" t="str">
        <f>"create view "&amp;A6&amp;"  as select  *  from   "&amp;A2&amp;";"</f>
        <v>create view v_zx_yjgl_doc  as select  *  from   t_zx_yjgl_doc;</v>
      </c>
    </row>
    <row r="7" spans="1:4" x14ac:dyDescent="0.15">
      <c r="A7" t="str">
        <f>"v_"&amp;A1&amp;"_dtl"</f>
        <v>v_zx_yjgl_dtl</v>
      </c>
      <c r="B7" s="1" t="str">
        <f>"create view "&amp;A7&amp;"  as select  *  from   "&amp;A4&amp;";"</f>
        <v>create view v_zx_yjgl_dtl  as select  *  from   t_zx_yjgl_dtl;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6"/>
  <sheetViews>
    <sheetView workbookViewId="0">
      <selection activeCell="F2" sqref="F2"/>
    </sheetView>
  </sheetViews>
  <sheetFormatPr defaultRowHeight="13.5" x14ac:dyDescent="0.15"/>
  <cols>
    <col min="1" max="1" width="13.75" customWidth="1"/>
    <col min="2" max="2" width="18" customWidth="1"/>
    <col min="3" max="3" width="20.125" customWidth="1"/>
    <col min="4" max="4" width="17.75" customWidth="1"/>
    <col min="5" max="5" width="39.5" customWidth="1"/>
    <col min="6" max="6" width="20.875" customWidth="1"/>
    <col min="7" max="7" width="25.75" customWidth="1"/>
  </cols>
  <sheetData>
    <row r="1" spans="1:6" x14ac:dyDescent="0.15">
      <c r="A1" t="s">
        <v>3</v>
      </c>
      <c r="B1" t="s">
        <v>4</v>
      </c>
      <c r="C1" t="s">
        <v>5</v>
      </c>
      <c r="E1" t="str">
        <f>"create table "&amp;Sheet1!A2&amp;"(constraint pk_"&amp;Sheet1!A1&amp;"_doc primary key(docid)"</f>
        <v>create table t_zx_yjgl_doc(constraint pk_zx_yjgl_doc primary key(docid)</v>
      </c>
    </row>
    <row r="2" spans="1:6" x14ac:dyDescent="0.15">
      <c r="A2" t="s">
        <v>22</v>
      </c>
      <c r="B2" t="s">
        <v>1</v>
      </c>
      <c r="C2" t="s">
        <v>7</v>
      </c>
      <c r="D2" t="s">
        <v>6</v>
      </c>
      <c r="E2" t="str">
        <f>","&amp;A2&amp;" "&amp;B2</f>
        <v>,docid number</v>
      </c>
      <c r="F2" t="str">
        <f>"COMMENT ON COLUMN "&amp;Sheet1!$A$2&amp;"."&amp;A2&amp;" IS '"&amp;C2&amp;"';"</f>
        <v>COMMENT ON COLUMN t_zx_yjgl_doc.docid IS '总单id';</v>
      </c>
    </row>
    <row r="3" spans="1:6" x14ac:dyDescent="0.15">
      <c r="A3" t="s">
        <v>8</v>
      </c>
      <c r="B3" t="s">
        <v>9</v>
      </c>
      <c r="C3" t="s">
        <v>10</v>
      </c>
      <c r="E3" t="str">
        <f t="shared" ref="E3:E13" si="0">","&amp;A3&amp;" "&amp;B3</f>
        <v>,credate date</v>
      </c>
      <c r="F3" t="str">
        <f>"COMMENT ON COLUMN "&amp;Sheet1!$A$2&amp;"."&amp;A3&amp;" IS '"&amp;C3&amp;"';"</f>
        <v>COMMENT ON COLUMN t_zx_yjgl_doc.credate IS '制单日期';</v>
      </c>
    </row>
    <row r="4" spans="1:6" x14ac:dyDescent="0.15">
      <c r="A4" t="s">
        <v>11</v>
      </c>
      <c r="B4" t="s">
        <v>1</v>
      </c>
      <c r="C4" t="s">
        <v>12</v>
      </c>
      <c r="E4" t="str">
        <f t="shared" si="0"/>
        <v>,inputmanid number</v>
      </c>
      <c r="F4" t="str">
        <f>"COMMENT ON COLUMN "&amp;Sheet1!$A$2&amp;"."&amp;A4&amp;" IS '"&amp;C4&amp;"';"</f>
        <v>COMMENT ON COLUMN t_zx_yjgl_doc.inputmanid IS '制单人id';</v>
      </c>
    </row>
    <row r="5" spans="1:6" x14ac:dyDescent="0.15">
      <c r="A5" t="s">
        <v>13</v>
      </c>
      <c r="B5" t="s">
        <v>1</v>
      </c>
      <c r="C5" t="s">
        <v>14</v>
      </c>
      <c r="E5" t="str">
        <f t="shared" si="0"/>
        <v>,supplierid number</v>
      </c>
      <c r="F5" t="str">
        <f>"COMMENT ON COLUMN "&amp;Sheet1!$A$2&amp;"."&amp;A5&amp;" IS '"&amp;C5&amp;"';"</f>
        <v>COMMENT ON COLUMN t_zx_yjgl_doc.supplierid IS '供应商id';</v>
      </c>
    </row>
    <row r="6" spans="1:6" x14ac:dyDescent="0.15">
      <c r="A6" t="s">
        <v>15</v>
      </c>
      <c r="B6" t="s">
        <v>1</v>
      </c>
      <c r="C6" t="s">
        <v>4</v>
      </c>
      <c r="E6" t="str">
        <f t="shared" si="0"/>
        <v>,typeid number</v>
      </c>
      <c r="F6" t="str">
        <f>"COMMENT ON COLUMN "&amp;Sheet1!$A$2&amp;"."&amp;A6&amp;" IS '"&amp;C6&amp;"';"</f>
        <v>COMMENT ON COLUMN t_zx_yjgl_doc.typeid IS '类型';</v>
      </c>
    </row>
    <row r="7" spans="1:6" x14ac:dyDescent="0.15">
      <c r="A7" t="s">
        <v>16</v>
      </c>
      <c r="B7" t="s">
        <v>1</v>
      </c>
      <c r="C7" t="s">
        <v>17</v>
      </c>
      <c r="E7" t="str">
        <f t="shared" si="0"/>
        <v>,usestatus number</v>
      </c>
      <c r="F7" t="str">
        <f>"COMMENT ON COLUMN "&amp;Sheet1!$A$2&amp;"."&amp;A7&amp;" IS '"&amp;C7&amp;"';"</f>
        <v>COMMENT ON COLUMN t_zx_yjgl_doc.usestatus IS '使用状态';</v>
      </c>
    </row>
    <row r="8" spans="1:6" x14ac:dyDescent="0.15">
      <c r="A8" t="s">
        <v>19</v>
      </c>
      <c r="B8" t="s">
        <v>1</v>
      </c>
      <c r="C8" t="s">
        <v>18</v>
      </c>
      <c r="E8" t="str">
        <f t="shared" si="0"/>
        <v>,confirmanid number</v>
      </c>
      <c r="F8" t="str">
        <f>"COMMENT ON COLUMN "&amp;Sheet1!$A$2&amp;"."&amp;A8&amp;" IS '"&amp;C8&amp;"';"</f>
        <v>COMMENT ON COLUMN t_zx_yjgl_doc.confirmanid IS '确认人id';</v>
      </c>
    </row>
    <row r="9" spans="1:6" x14ac:dyDescent="0.15">
      <c r="A9" t="s">
        <v>20</v>
      </c>
      <c r="B9" t="s">
        <v>9</v>
      </c>
      <c r="C9" t="s">
        <v>21</v>
      </c>
      <c r="E9" t="str">
        <f t="shared" si="0"/>
        <v>,confirdate date</v>
      </c>
      <c r="F9" t="str">
        <f>"COMMENT ON COLUMN "&amp;Sheet1!$A$2&amp;"."&amp;A9&amp;" IS '"&amp;C9&amp;"';"</f>
        <v>COMMENT ON COLUMN t_zx_yjgl_doc.confirdate IS '确认日期';</v>
      </c>
    </row>
    <row r="10" spans="1:6" x14ac:dyDescent="0.15">
      <c r="A10" t="s">
        <v>23</v>
      </c>
      <c r="B10" t="s">
        <v>24</v>
      </c>
      <c r="C10" t="s">
        <v>25</v>
      </c>
      <c r="E10" t="str">
        <f t="shared" si="0"/>
        <v>,agent varchar2(20)</v>
      </c>
      <c r="F10" t="str">
        <f>"COMMENT ON COLUMN "&amp;Sheet1!$A$2&amp;"."&amp;A10&amp;" IS '"&amp;C10&amp;"';"</f>
        <v>COMMENT ON COLUMN t_zx_yjgl_doc.agent IS '代理人';</v>
      </c>
    </row>
    <row r="11" spans="1:6" x14ac:dyDescent="0.15">
      <c r="A11" t="s">
        <v>26</v>
      </c>
      <c r="B11" t="s">
        <v>27</v>
      </c>
      <c r="C11" t="s">
        <v>28</v>
      </c>
      <c r="E11" t="str">
        <f t="shared" si="0"/>
        <v>,docmemo varchar2(500)</v>
      </c>
      <c r="F11" t="str">
        <f>"COMMENT ON COLUMN "&amp;Sheet1!$A$2&amp;"."&amp;A11&amp;" IS '"&amp;C11&amp;"';"</f>
        <v>COMMENT ON COLUMN t_zx_yjgl_doc.docmemo IS '总单备注';</v>
      </c>
    </row>
    <row r="12" spans="1:6" x14ac:dyDescent="0.15">
      <c r="A12" t="s">
        <v>29</v>
      </c>
      <c r="B12" t="s">
        <v>1</v>
      </c>
      <c r="C12" t="s">
        <v>30</v>
      </c>
      <c r="E12" t="str">
        <f t="shared" si="0"/>
        <v>,cancelmanid number</v>
      </c>
      <c r="F12" t="str">
        <f>"COMMENT ON COLUMN "&amp;Sheet1!$A$2&amp;"."&amp;A12&amp;" IS '"&amp;C12&amp;"';"</f>
        <v>COMMENT ON COLUMN t_zx_yjgl_doc.cancelmanid IS '作废人id';</v>
      </c>
    </row>
    <row r="13" spans="1:6" x14ac:dyDescent="0.15">
      <c r="A13" t="s">
        <v>31</v>
      </c>
      <c r="B13" t="s">
        <v>9</v>
      </c>
      <c r="C13" t="s">
        <v>32</v>
      </c>
      <c r="E13" t="str">
        <f t="shared" si="0"/>
        <v>,canceldate date</v>
      </c>
      <c r="F13" t="str">
        <f>"COMMENT ON COLUMN "&amp;Sheet1!$A$2&amp;"."&amp;A13&amp;" IS '"&amp;C13&amp;"';"</f>
        <v>COMMENT ON COLUMN t_zx_yjgl_doc.canceldate IS '作废日期';</v>
      </c>
    </row>
    <row r="16" spans="1:6" x14ac:dyDescent="0.15">
      <c r="E16" t="s">
        <v>50</v>
      </c>
    </row>
  </sheetData>
  <phoneticPr fontId="1" type="noConversion"/>
  <dataValidations count="1">
    <dataValidation type="list" allowBlank="1" showInputMessage="1" sqref="B1:B1048576">
      <formula1>"number,varchar2(),date"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8"/>
  <sheetViews>
    <sheetView tabSelected="1" workbookViewId="0">
      <selection activeCell="G4" sqref="G4"/>
    </sheetView>
  </sheetViews>
  <sheetFormatPr defaultRowHeight="13.5" x14ac:dyDescent="0.15"/>
  <cols>
    <col min="1" max="1" width="21.5" customWidth="1"/>
    <col min="2" max="2" width="28.125" customWidth="1"/>
    <col min="5" max="5" width="36.75" customWidth="1"/>
    <col min="7" max="7" width="28.75" customWidth="1"/>
  </cols>
  <sheetData>
    <row r="1" spans="1:7" x14ac:dyDescent="0.15">
      <c r="A1" t="s">
        <v>3</v>
      </c>
      <c r="B1" t="s">
        <v>4</v>
      </c>
      <c r="C1" t="s">
        <v>5</v>
      </c>
      <c r="E1" t="str">
        <f>"create table "&amp;Sheet1!A4&amp;"(CONSTRAINT fk_"&amp;Sheet1!$A$1&amp;"_dtl FOREIGN KEY(docid) REFERENCES "&amp;Sheet1!A2&amp;"(docid),constraint pk_"&amp;Sheet1!A1&amp;"_dtl primary key(dtlid)"</f>
        <v>create table t_zx_yjgl_dtl(CONSTRAINT fk_zx_yjgl_dtl FOREIGN KEY(docid) REFERENCES t_zx_yjgl_doc(docid),constraint pk_zx_yjgl_dtl primary key(dtlid)</v>
      </c>
    </row>
    <row r="2" spans="1:7" x14ac:dyDescent="0.15">
      <c r="A2" t="s">
        <v>22</v>
      </c>
      <c r="B2" t="s">
        <v>1</v>
      </c>
      <c r="D2" t="s">
        <v>33</v>
      </c>
      <c r="E2" t="str">
        <f>","&amp;A2&amp;" "&amp;B2</f>
        <v>,docid number</v>
      </c>
      <c r="F2" t="str">
        <f>"COMMENT ON COLUMN "&amp;Sheet1!$A$4&amp;"."&amp;A2&amp;" IS '"&amp;C2&amp;"';"</f>
        <v>COMMENT ON COLUMN t_zx_yjgl_dtl.docid IS '';</v>
      </c>
      <c r="G2" t="str">
        <f>rerp(B2,"2\(\d+\)","")</f>
        <v>number</v>
      </c>
    </row>
    <row r="3" spans="1:7" x14ac:dyDescent="0.15">
      <c r="A3" t="s">
        <v>34</v>
      </c>
      <c r="B3" t="s">
        <v>1</v>
      </c>
      <c r="C3" t="s">
        <v>6</v>
      </c>
      <c r="D3" t="s">
        <v>6</v>
      </c>
      <c r="E3" t="str">
        <f t="shared" ref="E3:E10" si="0">","&amp;A3&amp;" "&amp;B3</f>
        <v>,dtlid number</v>
      </c>
      <c r="F3" t="str">
        <f>"COMMENT ON COLUMN "&amp;Sheet1!$A$4&amp;"."&amp;A3&amp;" IS '"&amp;C3&amp;"';"</f>
        <v>COMMENT ON COLUMN t_zx_yjgl_dtl.dtlid IS '主键';</v>
      </c>
      <c r="G3" t="str">
        <f t="shared" ref="G3:G10" si="1">rerp(B3,"2\(\d+\)","")</f>
        <v>number</v>
      </c>
    </row>
    <row r="4" spans="1:7" x14ac:dyDescent="0.15">
      <c r="A4" t="s">
        <v>35</v>
      </c>
      <c r="B4" t="s">
        <v>1</v>
      </c>
      <c r="C4" t="s">
        <v>36</v>
      </c>
      <c r="E4" t="str">
        <f t="shared" si="0"/>
        <v>,goodsid number</v>
      </c>
      <c r="F4" t="str">
        <f>"COMMENT ON COLUMN "&amp;Sheet1!$A$4&amp;"."&amp;A4&amp;" IS '"&amp;C4&amp;"';"</f>
        <v>COMMENT ON COLUMN t_zx_yjgl_dtl.goodsid IS '货品id';</v>
      </c>
      <c r="G4" t="str">
        <f t="shared" si="1"/>
        <v>number</v>
      </c>
    </row>
    <row r="5" spans="1:7" x14ac:dyDescent="0.15">
      <c r="A5" t="s">
        <v>37</v>
      </c>
      <c r="B5" t="s">
        <v>1</v>
      </c>
      <c r="C5" t="s">
        <v>38</v>
      </c>
      <c r="E5" t="str">
        <f t="shared" si="0"/>
        <v>,supplyerid number</v>
      </c>
      <c r="F5" t="str">
        <f>"COMMENT ON COLUMN "&amp;Sheet1!$A$4&amp;"."&amp;A5&amp;" IS '"&amp;C5&amp;"';"</f>
        <v>COMMENT ON COLUMN t_zx_yjgl_dtl.supplyerid IS '采购员id';</v>
      </c>
      <c r="G5" t="str">
        <f t="shared" si="1"/>
        <v>number</v>
      </c>
    </row>
    <row r="6" spans="1:7" x14ac:dyDescent="0.15">
      <c r="A6" t="s">
        <v>39</v>
      </c>
      <c r="B6" t="s">
        <v>2</v>
      </c>
      <c r="C6" t="s">
        <v>40</v>
      </c>
      <c r="E6" t="str">
        <f t="shared" si="0"/>
        <v>,sjh varchar2(30)</v>
      </c>
      <c r="F6" t="str">
        <f>"COMMENT ON COLUMN "&amp;Sheet1!$A$4&amp;"."&amp;A6&amp;" IS '"&amp;C6&amp;"';"</f>
        <v>COMMENT ON COLUMN t_zx_yjgl_dtl.sjh IS '收据号';</v>
      </c>
      <c r="G6" t="str">
        <f t="shared" si="1"/>
        <v>varchar</v>
      </c>
    </row>
    <row r="7" spans="1:7" x14ac:dyDescent="0.15">
      <c r="A7" t="s">
        <v>41</v>
      </c>
      <c r="B7" t="s">
        <v>9</v>
      </c>
      <c r="C7" t="s">
        <v>42</v>
      </c>
      <c r="E7" t="str">
        <f t="shared" si="0"/>
        <v>,sjhkjrq date</v>
      </c>
      <c r="F7" t="str">
        <f>"COMMENT ON COLUMN "&amp;Sheet1!$A$4&amp;"."&amp;A7&amp;" IS '"&amp;C7&amp;"';"</f>
        <v>COMMENT ON COLUMN t_zx_yjgl_dtl.sjhkjrq IS '收据开具日期';</v>
      </c>
      <c r="G7" t="str">
        <f t="shared" si="1"/>
        <v>date</v>
      </c>
    </row>
    <row r="8" spans="1:7" x14ac:dyDescent="0.15">
      <c r="A8" t="s">
        <v>43</v>
      </c>
      <c r="B8" t="s">
        <v>44</v>
      </c>
      <c r="C8" t="s">
        <v>45</v>
      </c>
      <c r="E8" t="str">
        <f t="shared" si="0"/>
        <v>,sjzy varchar2(200)</v>
      </c>
      <c r="F8" t="str">
        <f>"COMMENT ON COLUMN "&amp;Sheet1!$A$4&amp;"."&amp;A8&amp;" IS '"&amp;C8&amp;"';"</f>
        <v>COMMENT ON COLUMN t_zx_yjgl_dtl.sjzy IS '收据摘要';</v>
      </c>
      <c r="G8" t="str">
        <f t="shared" si="1"/>
        <v>varchar</v>
      </c>
    </row>
    <row r="9" spans="1:7" x14ac:dyDescent="0.15">
      <c r="A9" t="s">
        <v>46</v>
      </c>
      <c r="B9" t="s">
        <v>1</v>
      </c>
      <c r="C9" t="s">
        <v>47</v>
      </c>
      <c r="E9" t="str">
        <f t="shared" si="0"/>
        <v>,je number</v>
      </c>
      <c r="F9" t="str">
        <f>"COMMENT ON COLUMN "&amp;Sheet1!$A$4&amp;"."&amp;A9&amp;" IS '"&amp;C9&amp;"';"</f>
        <v>COMMENT ON COLUMN t_zx_yjgl_dtl.je IS '金额';</v>
      </c>
      <c r="G9" t="str">
        <f t="shared" si="1"/>
        <v>number</v>
      </c>
    </row>
    <row r="10" spans="1:7" x14ac:dyDescent="0.15">
      <c r="A10" t="s">
        <v>48</v>
      </c>
      <c r="B10" t="s">
        <v>27</v>
      </c>
      <c r="C10" t="s">
        <v>49</v>
      </c>
      <c r="E10" t="str">
        <f t="shared" si="0"/>
        <v>,dtlmemo varchar2(500)</v>
      </c>
      <c r="F10" t="str">
        <f>"COMMENT ON COLUMN "&amp;Sheet1!$A$4&amp;"."&amp;A10&amp;" IS '"&amp;C10&amp;"';"</f>
        <v>COMMENT ON COLUMN t_zx_yjgl_dtl.dtlmemo IS '细单备注';</v>
      </c>
      <c r="G10" t="str">
        <f t="shared" si="1"/>
        <v>varchar</v>
      </c>
    </row>
    <row r="18" spans="5:5" x14ac:dyDescent="0.15">
      <c r="E18" t="s">
        <v>51</v>
      </c>
    </row>
  </sheetData>
  <phoneticPr fontId="1" type="noConversion"/>
  <dataValidations count="1">
    <dataValidation type="list" allowBlank="1" showInputMessage="1" sqref="B1:B1048576">
      <formula1>"number,varchar2(),date"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3"/>
  <sheetViews>
    <sheetView zoomScale="110" zoomScaleNormal="110" workbookViewId="0">
      <selection activeCell="A4" sqref="A4"/>
    </sheetView>
  </sheetViews>
  <sheetFormatPr defaultRowHeight="13.5" x14ac:dyDescent="0.15"/>
  <cols>
    <col min="1" max="1" width="32.875" style="1" customWidth="1"/>
  </cols>
  <sheetData>
    <row r="1" spans="1:1" x14ac:dyDescent="0.15">
      <c r="A1" s="1" t="s">
        <v>52</v>
      </c>
    </row>
    <row r="2" spans="1:1" x14ac:dyDescent="0.15">
      <c r="A2" s="1" t="str">
        <f>"opid:"&amp;Sheet1!B1</f>
        <v>opid:101072</v>
      </c>
    </row>
    <row r="3" spans="1:1" x14ac:dyDescent="0.15">
      <c r="A3" s="1" t="str">
        <f>"opcode:"&amp;Sheet1!D1</f>
        <v>opcode:YJGL</v>
      </c>
    </row>
    <row r="4" spans="1:1" x14ac:dyDescent="0.15">
      <c r="A4" s="1" t="str">
        <f>"opname:"&amp;Sheet1!C1</f>
        <v>opname:押金管理</v>
      </c>
    </row>
    <row r="5" spans="1:1" x14ac:dyDescent="0.15">
      <c r="A5" s="1" t="str">
        <f>"tablename:"&amp;Sheet1!A2</f>
        <v>tablename:t_zx_yjgl_doc</v>
      </c>
    </row>
    <row r="6" spans="1:1" x14ac:dyDescent="0.15">
      <c r="A6" s="1" t="str">
        <f>"viewname:"&amp;Sheet1!A6</f>
        <v>viewname:v_zx_yjgl_doc</v>
      </c>
    </row>
    <row r="7" spans="1:1" x14ac:dyDescent="0.15">
      <c r="A7" s="1" t="s">
        <v>53</v>
      </c>
    </row>
    <row r="8" spans="1:1" x14ac:dyDescent="0.15">
      <c r="A8" s="1" t="str">
        <f>"tablename1:"&amp;Sheet1!A4</f>
        <v>tablename1:t_zx_yjgl_dtl</v>
      </c>
    </row>
    <row r="9" spans="1:1" x14ac:dyDescent="0.15">
      <c r="A9" s="1" t="str">
        <f>"viewname1:"&amp;Sheet1!A7</f>
        <v>viewname1:v_zx_yjgl_dtl</v>
      </c>
    </row>
    <row r="10" spans="1:1" x14ac:dyDescent="0.15">
      <c r="A10" s="1" t="s">
        <v>54</v>
      </c>
    </row>
    <row r="11" spans="1:1" x14ac:dyDescent="0.15">
      <c r="A11" s="1" t="s">
        <v>55</v>
      </c>
    </row>
    <row r="12" spans="1:1" x14ac:dyDescent="0.15">
      <c r="A12" s="1" t="str">
        <f>"sortno:"&amp;Sheet1!B1</f>
        <v>sortno:101072</v>
      </c>
    </row>
    <row r="13" spans="1:1" x14ac:dyDescent="0.15">
      <c r="A13" s="1" t="s">
        <v>56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6"/>
  <sheetViews>
    <sheetView workbookViewId="0">
      <selection activeCell="C1" sqref="C1"/>
    </sheetView>
  </sheetViews>
  <sheetFormatPr defaultRowHeight="13.5" x14ac:dyDescent="0.15"/>
  <cols>
    <col min="1" max="1" width="16.5" customWidth="1"/>
    <col min="2" max="2" width="12.625" customWidth="1"/>
    <col min="4" max="4" width="13.375" customWidth="1"/>
    <col min="6" max="6" width="17.25" customWidth="1"/>
  </cols>
  <sheetData>
    <row r="1" spans="1:22" x14ac:dyDescent="0.15">
      <c r="A1" t="s">
        <v>58</v>
      </c>
      <c r="B1" t="s">
        <v>1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61</v>
      </c>
      <c r="I1" t="s">
        <v>61</v>
      </c>
      <c r="J1" t="s">
        <v>61</v>
      </c>
      <c r="K1" t="s">
        <v>63</v>
      </c>
      <c r="L1">
        <v>0</v>
      </c>
      <c r="M1" t="s">
        <v>63</v>
      </c>
      <c r="N1" t="s">
        <v>63</v>
      </c>
      <c r="O1" t="s">
        <v>63</v>
      </c>
      <c r="Q1" t="s">
        <v>63</v>
      </c>
      <c r="R1">
        <v>110</v>
      </c>
      <c r="S1" t="s">
        <v>63</v>
      </c>
      <c r="T1" t="s">
        <v>63</v>
      </c>
      <c r="U1" t="s">
        <v>61</v>
      </c>
      <c r="V1" t="s">
        <v>63</v>
      </c>
    </row>
    <row r="2" spans="1:22" x14ac:dyDescent="0.15">
      <c r="A2" t="s">
        <v>64</v>
      </c>
      <c r="B2" t="s">
        <v>9</v>
      </c>
      <c r="C2" t="s">
        <v>65</v>
      </c>
      <c r="D2" t="s">
        <v>60</v>
      </c>
      <c r="E2" t="s">
        <v>63</v>
      </c>
      <c r="G2" t="s">
        <v>63</v>
      </c>
      <c r="H2" t="s">
        <v>61</v>
      </c>
      <c r="I2" t="s">
        <v>61</v>
      </c>
      <c r="J2" t="s">
        <v>61</v>
      </c>
      <c r="K2" t="s">
        <v>63</v>
      </c>
      <c r="L2">
        <v>0</v>
      </c>
      <c r="M2" t="s">
        <v>63</v>
      </c>
      <c r="N2" t="s">
        <v>61</v>
      </c>
      <c r="O2" t="s">
        <v>63</v>
      </c>
      <c r="Q2" t="s">
        <v>63</v>
      </c>
      <c r="R2">
        <v>110</v>
      </c>
      <c r="S2" t="s">
        <v>63</v>
      </c>
      <c r="T2" t="s">
        <v>63</v>
      </c>
      <c r="U2" t="s">
        <v>61</v>
      </c>
      <c r="V2" t="s">
        <v>63</v>
      </c>
    </row>
    <row r="3" spans="1:22" x14ac:dyDescent="0.15">
      <c r="A3" t="s">
        <v>66</v>
      </c>
      <c r="B3" t="s">
        <v>1</v>
      </c>
      <c r="C3" t="s">
        <v>67</v>
      </c>
      <c r="D3" t="s">
        <v>60</v>
      </c>
      <c r="E3" t="s">
        <v>63</v>
      </c>
      <c r="G3" t="s">
        <v>63</v>
      </c>
      <c r="H3" t="s">
        <v>61</v>
      </c>
      <c r="I3" t="s">
        <v>61</v>
      </c>
      <c r="J3" t="s">
        <v>61</v>
      </c>
      <c r="K3" t="s">
        <v>61</v>
      </c>
      <c r="L3">
        <v>0</v>
      </c>
      <c r="M3" t="s">
        <v>63</v>
      </c>
      <c r="N3" t="s">
        <v>61</v>
      </c>
      <c r="O3" t="s">
        <v>63</v>
      </c>
      <c r="Q3" t="s">
        <v>63</v>
      </c>
      <c r="R3">
        <v>114</v>
      </c>
      <c r="S3" t="s">
        <v>63</v>
      </c>
      <c r="T3" t="s">
        <v>63</v>
      </c>
      <c r="U3" t="s">
        <v>61</v>
      </c>
      <c r="V3" t="s">
        <v>63</v>
      </c>
    </row>
    <row r="4" spans="1:22" x14ac:dyDescent="0.15">
      <c r="A4" t="s">
        <v>68</v>
      </c>
      <c r="B4" t="s">
        <v>69</v>
      </c>
      <c r="C4" t="s">
        <v>70</v>
      </c>
      <c r="D4" t="s">
        <v>71</v>
      </c>
      <c r="E4" t="s">
        <v>63</v>
      </c>
      <c r="G4" t="s">
        <v>63</v>
      </c>
      <c r="H4" t="s">
        <v>61</v>
      </c>
      <c r="I4" t="s">
        <v>61</v>
      </c>
      <c r="J4" t="s">
        <v>61</v>
      </c>
      <c r="K4" t="s">
        <v>63</v>
      </c>
      <c r="L4">
        <v>0</v>
      </c>
      <c r="M4" t="s">
        <v>63</v>
      </c>
      <c r="N4" t="s">
        <v>61</v>
      </c>
      <c r="O4" t="s">
        <v>63</v>
      </c>
      <c r="Q4" t="s">
        <v>63</v>
      </c>
      <c r="R4">
        <v>425</v>
      </c>
      <c r="S4" t="s">
        <v>63</v>
      </c>
      <c r="T4" t="s">
        <v>63</v>
      </c>
      <c r="U4" t="s">
        <v>61</v>
      </c>
      <c r="V4" t="s">
        <v>63</v>
      </c>
    </row>
    <row r="5" spans="1:22" x14ac:dyDescent="0.15">
      <c r="A5" t="s">
        <v>72</v>
      </c>
      <c r="B5" t="s">
        <v>69</v>
      </c>
      <c r="C5" t="s">
        <v>73</v>
      </c>
      <c r="D5" t="s">
        <v>60</v>
      </c>
      <c r="E5" t="s">
        <v>63</v>
      </c>
      <c r="G5" t="s">
        <v>63</v>
      </c>
      <c r="H5" t="s">
        <v>61</v>
      </c>
      <c r="I5" t="s">
        <v>63</v>
      </c>
      <c r="J5" t="s">
        <v>63</v>
      </c>
      <c r="K5" t="s">
        <v>61</v>
      </c>
      <c r="L5">
        <v>0</v>
      </c>
      <c r="M5" t="s">
        <v>63</v>
      </c>
      <c r="N5" t="s">
        <v>61</v>
      </c>
      <c r="O5" t="s">
        <v>63</v>
      </c>
      <c r="Q5" t="s">
        <v>63</v>
      </c>
      <c r="R5">
        <v>118</v>
      </c>
      <c r="S5" t="s">
        <v>63</v>
      </c>
      <c r="T5" t="s">
        <v>63</v>
      </c>
      <c r="U5" t="s">
        <v>61</v>
      </c>
      <c r="V5" t="s">
        <v>63</v>
      </c>
    </row>
    <row r="6" spans="1:22" x14ac:dyDescent="0.15">
      <c r="A6" t="s">
        <v>16</v>
      </c>
      <c r="B6" t="s">
        <v>1</v>
      </c>
      <c r="C6" t="s">
        <v>74</v>
      </c>
      <c r="D6" t="s">
        <v>75</v>
      </c>
      <c r="E6" t="s">
        <v>63</v>
      </c>
      <c r="G6" t="s">
        <v>63</v>
      </c>
      <c r="H6" t="s">
        <v>61</v>
      </c>
      <c r="I6" t="s">
        <v>61</v>
      </c>
      <c r="J6" t="s">
        <v>61</v>
      </c>
      <c r="K6" t="s">
        <v>61</v>
      </c>
      <c r="L6">
        <v>0</v>
      </c>
      <c r="M6" t="s">
        <v>63</v>
      </c>
      <c r="N6" t="s">
        <v>61</v>
      </c>
      <c r="O6" t="s">
        <v>63</v>
      </c>
      <c r="Q6" t="s">
        <v>63</v>
      </c>
      <c r="R6">
        <v>133</v>
      </c>
      <c r="S6" t="s">
        <v>63</v>
      </c>
      <c r="T6" t="s">
        <v>63</v>
      </c>
      <c r="U6" t="s">
        <v>61</v>
      </c>
      <c r="V6" t="s">
        <v>63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总单</vt:lpstr>
      <vt:lpstr>细单</vt:lpstr>
      <vt:lpstr>config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ye</cp:lastModifiedBy>
  <dcterms:created xsi:type="dcterms:W3CDTF">2006-09-16T00:00:00Z</dcterms:created>
  <dcterms:modified xsi:type="dcterms:W3CDTF">2017-04-21T01:18:22Z</dcterms:modified>
</cp:coreProperties>
</file>